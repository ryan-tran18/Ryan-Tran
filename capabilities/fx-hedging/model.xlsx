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gend-Key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Money Market" sheetId="4" state="visible" r:id="rId4"/>
    <sheet xmlns:r="http://schemas.openxmlformats.org/officeDocument/2006/relationships" name="Forward" sheetId="5" state="visible" r:id="rId5"/>
    <sheet xmlns:r="http://schemas.openxmlformats.org/officeDocument/2006/relationships" name="Option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Validation" sheetId="8" state="visible" r:id="rId8"/>
    <sheet xmlns:r="http://schemas.openxmlformats.org/officeDocument/2006/relationships" name="Notes-Assumptions" sheetId="9" state="visible" r:id="rId9"/>
  </sheets>
  <definedNames>
    <definedName name="FC_AMT">'Inputs'!$B$4</definedName>
    <definedName name="S0_in">'Inputs'!$B$5</definedName>
    <definedName name="F0_in">'Inputs'!$B$6</definedName>
    <definedName name="R_USD">'Inputs'!$B$7</definedName>
    <definedName name="R_FC">'Inputs'!$B$8</definedName>
    <definedName name="T_DAYS">'Inputs'!$B$9</definedName>
    <definedName name="BASIS">'Inputs'!$B$10</definedName>
    <definedName name="K_PUT">'Inputs'!$B$11</definedName>
    <definedName name="K_CALL">'Inputs'!$B$12</definedName>
    <definedName name="PREM_PUT">'Inputs'!$B$13</definedName>
    <definedName name="PREM_CALL">'Inputs'!$B$14</definedName>
    <definedName name="STEP_FRAC">'Inputs'!$B$15</definedName>
    <definedName name="BASIS_USD">'Inputs'!$B$16</definedName>
    <definedName name="BASIS_FC">'Inputs'!$B$17</definedName>
    <definedName name="EUR_BORROW">'Money Market'!$C$4</definedName>
    <definedName name="USD_TODAY">'Money Market'!$C$5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000"/>
    <numFmt numFmtId="166" formatCode="0.0000%"/>
    <numFmt numFmtId="167" formatCode="&quot;$&quot;#,##0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  <font>
      <b val="1"/>
      <color rgb="00FFFFFF"/>
    </font>
    <font>
      <b val="1"/>
      <color rgb="009C0006"/>
    </font>
    <font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0" fontId="2" fillId="0" borderId="2" pivotButton="0" quotePrefix="0" xfId="0"/>
    <xf numFmtId="0" fontId="0" fillId="0" borderId="2" applyAlignment="1" pivotButton="0" quotePrefix="0" xfId="0">
      <alignment vertical="top" wrapText="1"/>
    </xf>
    <xf numFmtId="0" fontId="3" fillId="2" borderId="2" pivotButton="0" quotePrefix="0" xfId="0"/>
    <xf numFmtId="0" fontId="0" fillId="0" borderId="2" pivotButton="0" quotePrefix="0" xfId="0"/>
    <xf numFmtId="164" fontId="5" fillId="3" borderId="2" pivotButton="0" quotePrefix="0" xfId="0"/>
    <xf numFmtId="0" fontId="4" fillId="0" borderId="2" pivotButton="0" quotePrefix="0" xfId="0"/>
    <xf numFmtId="0" fontId="0" fillId="4" borderId="2" applyAlignment="1" pivotButton="0" quotePrefix="0" xfId="0">
      <alignment vertical="top" wrapText="1"/>
    </xf>
    <xf numFmtId="0" fontId="3" fillId="2" borderId="2" applyAlignment="1" pivotButton="0" quotePrefix="0" xfId="0">
      <alignment vertical="center" wrapText="1"/>
    </xf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3" borderId="2" pivotButton="0" quotePrefix="0" xfId="0"/>
    <xf numFmtId="3" fontId="0" fillId="5" borderId="2" applyAlignment="1" pivotButton="0" quotePrefix="0" xfId="0">
      <alignment vertical="top" wrapText="1"/>
    </xf>
    <xf numFmtId="165" fontId="0" fillId="6" borderId="2" applyAlignment="1" pivotButton="0" quotePrefix="0" xfId="0">
      <alignment vertical="top" wrapText="1"/>
    </xf>
    <xf numFmtId="165" fontId="0" fillId="5" borderId="2" applyAlignment="1" pivotButton="0" quotePrefix="0" xfId="0">
      <alignment vertical="top" wrapText="1"/>
    </xf>
    <xf numFmtId="166" fontId="0" fillId="6" borderId="2" applyAlignment="1" pivotButton="0" quotePrefix="0" xfId="0">
      <alignment vertical="top" wrapText="1"/>
    </xf>
    <xf numFmtId="3" fontId="0" fillId="6" borderId="2" applyAlignment="1" pivotButton="0" quotePrefix="0" xfId="0">
      <alignment vertical="top" wrapText="1"/>
    </xf>
    <xf numFmtId="165" fontId="5" fillId="7" borderId="2" applyAlignment="1" pivotButton="0" quotePrefix="0" xfId="0">
      <alignment vertical="top" wrapText="1"/>
    </xf>
    <xf numFmtId="4" fontId="5" fillId="7" borderId="2" pivotButton="0" quotePrefix="0" xfId="0"/>
    <xf numFmtId="164" fontId="5" fillId="7" borderId="2" pivotButton="0" quotePrefix="0" xfId="0"/>
    <xf numFmtId="165" fontId="5" fillId="7" borderId="2" pivotButton="0" quotePrefix="0" xfId="0"/>
    <xf numFmtId="9" fontId="5" fillId="7" borderId="2" pivotButton="0" quotePrefix="0" xfId="0"/>
    <xf numFmtId="167" fontId="5" fillId="7" borderId="2" pivotButton="0" quotePrefix="0" xfId="0"/>
    <xf numFmtId="4" fontId="5" fillId="7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166" fontId="5" fillId="7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Proceeds by Settlement EUR/USD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'Sensitivity'!$A$4:$A$14</f>
            </numRef>
          </cat>
          <val>
            <numRef>
              <f>'Sensitivity'!$C$4:$C$14</f>
            </numRef>
          </val>
        </ser>
        <ser>
          <idx val="1"/>
          <order val="1"/>
          <tx>
            <strRef>
              <f>'Sensitivity'!D3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'Sensitivity'!$A$4:$A$14</f>
            </numRef>
          </cat>
          <val>
            <numRef>
              <f>'Sensitivity'!$D$4:$D$14</f>
            </numRef>
          </val>
        </ser>
        <ser>
          <idx val="2"/>
          <order val="2"/>
          <tx>
            <strRef>
              <f>'Sensitivity'!E3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'Sensitivity'!$A$4:$A$14</f>
            </numRef>
          </cat>
          <val>
            <numRef>
              <f>'Sensitivity'!$E$4:$E$14</f>
            </numRef>
          </val>
        </ser>
        <ser>
          <idx val="3"/>
          <order val="3"/>
          <tx>
            <strRef>
              <f>'Sensitivity'!F3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'Sensitivity'!$A$4:$A$14</f>
            </numRef>
          </cat>
          <val>
            <numRef>
              <f>'Sensitivity'!$F$4:$F$14</f>
            </numRef>
          </val>
        </ser>
        <ser>
          <idx val="4"/>
          <order val="4"/>
          <tx>
            <strRef>
              <f>'Sensitivity'!G3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'Sensitivity'!$A$4:$A$14</f>
            </numRef>
          </cat>
          <val>
            <numRef>
              <f>'Sensitivity'!$G$4:$G$14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Settlement change vs. spot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proceeds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0" customWidth="1" min="3" max="3"/>
    <col width="20" customWidth="1" min="4" max="4"/>
  </cols>
  <sheetData>
    <row r="1" ht="26" customHeight="1">
      <c r="A1" s="1" t="inlineStr">
        <is>
          <t>API Ingredients — FX Transaction Hedge Model</t>
        </is>
      </c>
    </row>
    <row r="2"/>
    <row r="3">
      <c r="A3" s="2" t="inlineStr">
        <is>
          <t>Course</t>
        </is>
      </c>
      <c r="B3" s="3" t="inlineStr">
        <is>
          <t>FIN 321: International Finance and Securities</t>
        </is>
      </c>
    </row>
    <row r="4">
      <c r="A4" s="2" t="inlineStr">
        <is>
          <t>Institution</t>
        </is>
      </c>
      <c r="B4" s="3" t="inlineStr">
        <is>
          <t>University of Hawaiʻi at Mānoa · Shidler College of Business</t>
        </is>
      </c>
    </row>
    <row r="5">
      <c r="A5" s="2" t="inlineStr">
        <is>
          <t>Scenario</t>
        </is>
      </c>
      <c r="B5" s="3" t="inlineStr">
        <is>
          <t>Scenario 19 — api-ingredients</t>
        </is>
      </c>
    </row>
    <row r="6">
      <c r="A6" s="2" t="inlineStr">
        <is>
          <t>Author</t>
        </is>
      </c>
      <c r="B6" s="3" t="inlineStr">
        <is>
          <t>Ryan Tran</t>
        </is>
      </c>
    </row>
    <row r="7">
      <c r="A7" s="2" t="inlineStr">
        <is>
          <t>Model date</t>
        </is>
      </c>
      <c r="B7" s="3" t="inlineStr">
        <is>
          <t>2026-10-25</t>
        </is>
      </c>
    </row>
    <row r="8">
      <c r="A8" s="2" t="inlineStr">
        <is>
          <t>Exposure</t>
        </is>
      </c>
      <c r="B8" s="3" t="inlineStr">
        <is>
          <t>EUR 8,200,000 receivable due in 91 days</t>
        </is>
      </c>
    </row>
    <row r="9">
      <c r="A9" s="2" t="inlineStr">
        <is>
          <t>Purpose</t>
        </is>
      </c>
      <c r="B9" s="3" t="inlineStr">
        <is>
          <t>Compare unhedged, forward, money-market, EUR put, and EUR call overlay outcomes.</t>
        </is>
      </c>
    </row>
    <row r="10"/>
    <row r="11">
      <c r="A11" s="4" t="inlineStr">
        <is>
          <t>Data provenance</t>
        </is>
      </c>
    </row>
    <row r="12" ht="30" customHeight="1">
      <c r="A12" s="2" t="inlineStr">
        <is>
          <t>Spot EUR/USD</t>
        </is>
      </c>
      <c r="B12" s="3" t="inlineStr">
        <is>
          <t>1.1193 USD/EUR — ECB reference-rate proxy dated 2026-10-23; not an executable quote.</t>
        </is>
      </c>
    </row>
    <row r="13" ht="30" customHeight="1">
      <c r="A13" s="2" t="inlineStr">
        <is>
          <t>Forward EUR/USD</t>
        </is>
      </c>
      <c r="B13" s="3" t="inlineStr">
        <is>
          <t>1.1653 USD/EUR — indicative scenario input; verify availability and quote convention.</t>
        </is>
      </c>
    </row>
    <row r="14" ht="30" customHeight="1">
      <c r="A14" s="2" t="inlineStr">
        <is>
          <t>USD rate</t>
        </is>
      </c>
      <c r="B14" s="3" t="inlineStr">
        <is>
          <t>4.04% — provisional U.S. 3-month Treasury-rate proxy; not a company borrowing/deposit rate.</t>
        </is>
      </c>
    </row>
    <row r="15" ht="30" customHeight="1">
      <c r="A15" s="2" t="inlineStr">
        <is>
          <t>EUR rate</t>
        </is>
      </c>
      <c r="B15" s="3" t="inlineStr">
        <is>
          <t>2.666% — provisional 3-month Euribor proxy; confirm observation date and convention.</t>
        </is>
      </c>
    </row>
    <row r="16" ht="30" customHeight="1">
      <c r="A16" s="2" t="inlineStr">
        <is>
          <t>Options</t>
        </is>
      </c>
      <c r="B16" s="3" t="inlineStr">
        <is>
          <t>Put premium $0.0147/EUR; call premium $0.0199/EUR; strike equals spot.</t>
        </is>
      </c>
    </row>
    <row r="17" ht="30" customHeight="1">
      <c r="A17" s="2" t="inlineStr">
        <is>
          <t>Status</t>
        </is>
      </c>
      <c r="B17" s="3" t="inlineStr">
        <is>
          <t>Stage 3 build draft. Market-data consistency check is flagged for review; do not treat proxies as trade quotes.</t>
        </is>
      </c>
    </row>
    <row r="18"/>
    <row r="19">
      <c r="A19" s="2" t="inlineStr">
        <is>
          <t>Main result</t>
        </is>
      </c>
      <c r="B19" s="5" t="inlineStr">
        <is>
          <t>Forward proceeds</t>
        </is>
      </c>
      <c r="C19" s="6">
        <f>FC_AMT*F0_in</f>
        <v/>
      </c>
    </row>
    <row r="20"/>
    <row r="21">
      <c r="A21" s="7" t="inlineStr">
        <is>
          <t>Important audit note</t>
        </is>
      </c>
      <c r="B21" s="8" t="inlineStr">
        <is>
          <t>Forward quote and spot/rate proxies do not currently pass the parity check. Reconcile before final recommendation.</t>
        </is>
      </c>
    </row>
    <row r="22"/>
  </sheetData>
  <mergeCells count="9">
    <mergeCell ref="A1:D1"/>
    <mergeCell ref="B14:D14"/>
    <mergeCell ref="B15:D15"/>
    <mergeCell ref="B21:D22"/>
    <mergeCell ref="B17:D17"/>
    <mergeCell ref="B13:D13"/>
    <mergeCell ref="A11:D11"/>
    <mergeCell ref="B12:D12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</cols>
  <sheetData>
    <row r="1" ht="26" customHeight="1">
      <c r="A1" s="1" t="inlineStr">
        <is>
          <t>Legend / Key</t>
        </is>
      </c>
    </row>
    <row r="2">
      <c r="A2" s="5" t="inlineStr"/>
    </row>
    <row r="3">
      <c r="A3" s="9" t="inlineStr">
        <is>
          <t>Color</t>
        </is>
      </c>
      <c r="B3" s="9" t="inlineStr">
        <is>
          <t>Meaning</t>
        </is>
      </c>
      <c r="C3" s="9" t="inlineStr">
        <is>
          <t>Use</t>
        </is>
      </c>
    </row>
    <row r="4">
      <c r="A4" s="10" t="inlineStr">
        <is>
          <t>Yellow</t>
        </is>
      </c>
      <c r="B4" s="5" t="inlineStr">
        <is>
          <t>Inputs</t>
        </is>
      </c>
      <c r="C4" s="5" t="inlineStr">
        <is>
          <t>User-entered scenario or market-data values</t>
        </is>
      </c>
    </row>
    <row r="5">
      <c r="A5" s="11" t="inlineStr">
        <is>
          <t>Blue</t>
        </is>
      </c>
      <c r="B5" s="5" t="inlineStr">
        <is>
          <t>Assumptions</t>
        </is>
      </c>
      <c r="C5" s="5" t="inlineStr">
        <is>
          <t>Modeling conventions and provisional proxy inputs</t>
        </is>
      </c>
    </row>
    <row r="6">
      <c r="A6" s="12" t="inlineStr">
        <is>
          <t>Green</t>
        </is>
      </c>
      <c r="B6" s="5" t="inlineStr">
        <is>
          <t>Formulas</t>
        </is>
      </c>
      <c r="C6" s="5" t="inlineStr">
        <is>
          <t>Calculated cells driven by named ranges</t>
        </is>
      </c>
    </row>
    <row r="7">
      <c r="A7" s="13" t="inlineStr">
        <is>
          <t>Gray</t>
        </is>
      </c>
      <c r="B7" s="5" t="inlineStr">
        <is>
          <t>Outputs</t>
        </is>
      </c>
      <c r="C7" s="5" t="inlineStr">
        <is>
          <t>Headline results / reported model outputs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62" customWidth="1" min="5" max="5"/>
  </cols>
  <sheetData>
    <row r="1" ht="26" customHeight="1">
      <c r="A1" s="1" t="inlineStr">
        <is>
          <t>Inputs and Named-Range Contract</t>
        </is>
      </c>
    </row>
    <row r="2"/>
    <row r="3">
      <c r="A3" s="9" t="inlineStr">
        <is>
          <t>Named range</t>
        </is>
      </c>
      <c r="B3" s="9" t="inlineStr">
        <is>
          <t>Value</t>
        </is>
      </c>
      <c r="C3" s="9" t="inlineStr">
        <is>
          <t>Type</t>
        </is>
      </c>
      <c r="D3" s="9" t="inlineStr">
        <is>
          <t>Units / convention</t>
        </is>
      </c>
      <c r="E3" s="9" t="inlineStr">
        <is>
          <t>Source / note</t>
        </is>
      </c>
    </row>
    <row r="4" ht="31" customHeight="1">
      <c r="A4" s="3" t="inlineStr">
        <is>
          <t>FC_AMT</t>
        </is>
      </c>
      <c r="B4" s="14" t="n">
        <v>8200000</v>
      </c>
      <c r="C4" s="3" t="inlineStr">
        <is>
          <t>Input</t>
        </is>
      </c>
      <c r="D4" s="3" t="inlineStr">
        <is>
          <t>EUR</t>
        </is>
      </c>
      <c r="E4" s="3" t="inlineStr">
        <is>
          <t>Scenario 19 receivable amount</t>
        </is>
      </c>
    </row>
    <row r="5" ht="31" customHeight="1">
      <c r="A5" s="3" t="inlineStr">
        <is>
          <t>S0_in</t>
        </is>
      </c>
      <c r="B5" s="15" t="n">
        <v>1.1193</v>
      </c>
      <c r="C5" s="3" t="inlineStr">
        <is>
          <t>Provisional input</t>
        </is>
      </c>
      <c r="D5" s="3" t="inlineStr">
        <is>
          <t>USD per EUR</t>
        </is>
      </c>
      <c r="E5" s="3" t="inlineStr">
        <is>
          <t>ECB reference proxy, 2026-10-23; not executable</t>
        </is>
      </c>
    </row>
    <row r="6" ht="31" customHeight="1">
      <c r="A6" s="3" t="inlineStr">
        <is>
          <t>F0_in</t>
        </is>
      </c>
      <c r="B6" s="16" t="n">
        <v>1.1653</v>
      </c>
      <c r="C6" s="3" t="inlineStr">
        <is>
          <t>Scenario input</t>
        </is>
      </c>
      <c r="D6" s="3" t="inlineStr">
        <is>
          <t>USD per EUR</t>
        </is>
      </c>
      <c r="E6" s="3" t="inlineStr">
        <is>
          <t>Indicative 91-day forward from scenario</t>
        </is>
      </c>
    </row>
    <row r="7" ht="31" customHeight="1">
      <c r="A7" s="3" t="inlineStr">
        <is>
          <t>R_USD</t>
        </is>
      </c>
      <c r="B7" s="17" t="n">
        <v>0.0404</v>
      </c>
      <c r="C7" s="3" t="inlineStr">
        <is>
          <t>Provisional input</t>
        </is>
      </c>
      <c r="D7" s="3" t="inlineStr">
        <is>
          <t>Annualized decimal</t>
        </is>
      </c>
      <c r="E7" s="3" t="inlineStr">
        <is>
          <t>4.04% U.S. 3-month Treasury-rate proxy; confirm exact series/date</t>
        </is>
      </c>
    </row>
    <row r="8" ht="31" customHeight="1">
      <c r="A8" s="3" t="inlineStr">
        <is>
          <t>R_FC</t>
        </is>
      </c>
      <c r="B8" s="17" t="n">
        <v>0.02666</v>
      </c>
      <c r="C8" s="3" t="inlineStr">
        <is>
          <t>Provisional input</t>
        </is>
      </c>
      <c r="D8" s="3" t="inlineStr">
        <is>
          <t>Annualized decimal</t>
        </is>
      </c>
      <c r="E8" s="3" t="inlineStr">
        <is>
          <t>2.666% 3-month Euribor proxy; confirm exact series/date</t>
        </is>
      </c>
    </row>
    <row r="9" ht="31" customHeight="1">
      <c r="A9" s="3" t="inlineStr">
        <is>
          <t>T_DAYS</t>
        </is>
      </c>
      <c r="B9" s="14" t="n">
        <v>91</v>
      </c>
      <c r="C9" s="3" t="inlineStr">
        <is>
          <t>Input</t>
        </is>
      </c>
      <c r="D9" s="3" t="inlineStr">
        <is>
          <t>Days</t>
        </is>
      </c>
      <c r="E9" s="3" t="inlineStr">
        <is>
          <t>Scenario maturity</t>
        </is>
      </c>
    </row>
    <row r="10" ht="31" customHeight="1">
      <c r="A10" s="3" t="inlineStr">
        <is>
          <t>BASIS</t>
        </is>
      </c>
      <c r="B10" s="18" t="n">
        <v>360</v>
      </c>
      <c r="C10" s="3" t="inlineStr">
        <is>
          <t>Assumption</t>
        </is>
      </c>
      <c r="D10" s="3" t="inlineStr">
        <is>
          <t>Days/year</t>
        </is>
      </c>
      <c r="E10" s="3" t="inlineStr">
        <is>
          <t>Initial simple-interest day-count basis</t>
        </is>
      </c>
    </row>
    <row r="11" ht="31" customHeight="1">
      <c r="A11" s="3" t="inlineStr">
        <is>
          <t>K_PUT</t>
        </is>
      </c>
      <c r="B11" s="19">
        <f>S0_in</f>
        <v/>
      </c>
      <c r="C11" s="3" t="inlineStr">
        <is>
          <t>Formula</t>
        </is>
      </c>
      <c r="D11" s="3" t="inlineStr">
        <is>
          <t>USD per EUR</t>
        </is>
      </c>
      <c r="E11" s="3" t="inlineStr">
        <is>
          <t>Put strike at spot</t>
        </is>
      </c>
    </row>
    <row r="12" ht="31" customHeight="1">
      <c r="A12" s="3" t="inlineStr">
        <is>
          <t>K_CALL</t>
        </is>
      </c>
      <c r="B12" s="19">
        <f>S0_in</f>
        <v/>
      </c>
      <c r="C12" s="3" t="inlineStr">
        <is>
          <t>Formula</t>
        </is>
      </c>
      <c r="D12" s="3" t="inlineStr">
        <is>
          <t>USD per EUR</t>
        </is>
      </c>
      <c r="E12" s="3" t="inlineStr">
        <is>
          <t>Call strike at spot</t>
        </is>
      </c>
    </row>
    <row r="13" ht="31" customHeight="1">
      <c r="A13" s="3" t="inlineStr">
        <is>
          <t>PREM_PUT</t>
        </is>
      </c>
      <c r="B13" s="16" t="n">
        <v>0.0147</v>
      </c>
      <c r="C13" s="3" t="inlineStr">
        <is>
          <t>Input</t>
        </is>
      </c>
      <c r="D13" s="3" t="inlineStr">
        <is>
          <t>USD per EUR</t>
        </is>
      </c>
      <c r="E13" s="3" t="inlineStr">
        <is>
          <t>Scenario option premium</t>
        </is>
      </c>
    </row>
    <row r="14" ht="31" customHeight="1">
      <c r="A14" s="3" t="inlineStr">
        <is>
          <t>PREM_CALL</t>
        </is>
      </c>
      <c r="B14" s="16" t="n">
        <v>0.0199</v>
      </c>
      <c r="C14" s="3" t="inlineStr">
        <is>
          <t>Input</t>
        </is>
      </c>
      <c r="D14" s="3" t="inlineStr">
        <is>
          <t>USD per EUR</t>
        </is>
      </c>
      <c r="E14" s="3" t="inlineStr">
        <is>
          <t>Scenario option premium</t>
        </is>
      </c>
    </row>
    <row r="15" ht="31" customHeight="1">
      <c r="A15" s="3" t="inlineStr">
        <is>
          <t>STEP_FRAC</t>
        </is>
      </c>
      <c r="B15" s="17" t="n">
        <v>0.01</v>
      </c>
      <c r="C15" s="3" t="inlineStr">
        <is>
          <t>Assumption</t>
        </is>
      </c>
      <c r="D15" s="3" t="inlineStr">
        <is>
          <t>Percent of spot per row</t>
        </is>
      </c>
      <c r="E15" s="3" t="inlineStr">
        <is>
          <t>Sensitivity grid increment</t>
        </is>
      </c>
    </row>
    <row r="16" ht="31" customHeight="1">
      <c r="A16" s="3" t="inlineStr">
        <is>
          <t>BASIS_USD</t>
        </is>
      </c>
      <c r="B16" s="18" t="n">
        <v>360</v>
      </c>
      <c r="C16" s="3" t="inlineStr">
        <is>
          <t>Assumption</t>
        </is>
      </c>
      <c r="D16" s="3" t="inlineStr">
        <is>
          <t>Days/year</t>
        </is>
      </c>
      <c r="E16" s="3" t="inlineStr">
        <is>
          <t>USD day-count basis; initial convention</t>
        </is>
      </c>
    </row>
    <row r="17" ht="31" customHeight="1">
      <c r="A17" s="3" t="inlineStr">
        <is>
          <t>BASIS_FC</t>
        </is>
      </c>
      <c r="B17" s="18" t="n">
        <v>360</v>
      </c>
      <c r="C17" s="3" t="inlineStr">
        <is>
          <t>Assumption</t>
        </is>
      </c>
      <c r="D17" s="3" t="inlineStr">
        <is>
          <t>Days/year</t>
        </is>
      </c>
      <c r="E17" s="3" t="inlineStr">
        <is>
          <t>EUR day-count basis; initial convention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50" customWidth="1" min="3" max="3"/>
    <col width="45" customWidth="1" min="4" max="4"/>
  </cols>
  <sheetData>
    <row r="1" ht="26" customHeight="1">
      <c r="A1" s="1" t="inlineStr">
        <is>
          <t>Money-Market Hedge — Three Explicit Steps</t>
        </is>
      </c>
    </row>
    <row r="2"/>
    <row r="3">
      <c r="A3" s="9" t="inlineStr">
        <is>
          <t>Step</t>
        </is>
      </c>
      <c r="B3" s="9" t="inlineStr">
        <is>
          <t>Calculation</t>
        </is>
      </c>
      <c r="C3" s="9" t="inlineStr">
        <is>
          <t>Formula</t>
        </is>
      </c>
      <c r="D3" s="9" t="inlineStr">
        <is>
          <t>Units / interpretation</t>
        </is>
      </c>
    </row>
    <row r="4">
      <c r="A4" s="5" t="inlineStr">
        <is>
          <t>1. Borrow EUR present value</t>
        </is>
      </c>
      <c r="B4" s="5" t="inlineStr">
        <is>
          <t>EUR_BORROW</t>
        </is>
      </c>
      <c r="C4" s="20">
        <f>FC_AMT/(1+R_FC*T_DAYS/BASIS_FC)</f>
        <v/>
      </c>
      <c r="D4" s="5" t="inlineStr">
        <is>
          <t>EUR borrowed today; repay FC_AMT at maturity</t>
        </is>
      </c>
    </row>
    <row r="5">
      <c r="A5" s="5" t="inlineStr">
        <is>
          <t>2. Convert borrowed EUR at spot</t>
        </is>
      </c>
      <c r="B5" s="5" t="inlineStr">
        <is>
          <t>USD_TODAY</t>
        </is>
      </c>
      <c r="C5" s="21">
        <f>EUR_BORROW*S0_in</f>
        <v/>
      </c>
      <c r="D5" s="5" t="inlineStr">
        <is>
          <t>USD received today</t>
        </is>
      </c>
    </row>
    <row r="6">
      <c r="A6" s="5" t="inlineStr">
        <is>
          <t>3. Invest USD to maturity</t>
        </is>
      </c>
      <c r="B6" s="5" t="inlineStr">
        <is>
          <t>USD_MM</t>
        </is>
      </c>
      <c r="C6" s="6">
        <f>USD_TODAY*(1+R_USD*T_DAYS/BASIS_USD)</f>
        <v/>
      </c>
      <c r="D6" s="5" t="inlineStr">
        <is>
          <t>USD proceeds at maturity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44" customWidth="1" min="4" max="4"/>
  </cols>
  <sheetData>
    <row r="1" ht="26" customHeight="1">
      <c r="A1" s="1" t="inlineStr">
        <is>
          <t>Forward Hedge</t>
        </is>
      </c>
    </row>
    <row r="2"/>
    <row r="3">
      <c r="A3" s="9" t="inlineStr">
        <is>
          <t>Metric</t>
        </is>
      </c>
      <c r="B3" s="9" t="inlineStr">
        <is>
          <t>Formula / value</t>
        </is>
      </c>
      <c r="C3" s="9" t="inlineStr">
        <is>
          <t>Units</t>
        </is>
      </c>
      <c r="D3" s="9" t="inlineStr">
        <is>
          <t>Notes</t>
        </is>
      </c>
    </row>
    <row r="4">
      <c r="A4" s="5" t="inlineStr">
        <is>
          <t>Receivable amount</t>
        </is>
      </c>
      <c r="B4" s="20">
        <f>FC_AMT</f>
        <v/>
      </c>
      <c r="C4" s="5" t="inlineStr">
        <is>
          <t>EUR</t>
        </is>
      </c>
      <c r="D4" s="5" t="inlineStr">
        <is>
          <t>Linked to Inputs</t>
        </is>
      </c>
    </row>
    <row r="5">
      <c r="A5" s="5" t="inlineStr">
        <is>
          <t>Forward rate</t>
        </is>
      </c>
      <c r="B5" s="22">
        <f>F0_in</f>
        <v/>
      </c>
      <c r="C5" s="5" t="inlineStr">
        <is>
          <t>USD/EUR</t>
        </is>
      </c>
      <c r="D5" s="5" t="inlineStr">
        <is>
          <t>Indicative quote</t>
        </is>
      </c>
    </row>
    <row r="6">
      <c r="A6" s="5" t="inlineStr">
        <is>
          <t>USD proceeds</t>
        </is>
      </c>
      <c r="B6" s="6">
        <f>FC_AMT*F0_in</f>
        <v/>
      </c>
      <c r="C6" s="5" t="inlineStr">
        <is>
          <t>USD</t>
        </is>
      </c>
      <c r="D6" s="5" t="inlineStr">
        <is>
          <t>Fixed at forward rate, before costs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8" customWidth="1" min="3" max="3"/>
    <col width="16" customWidth="1" min="4" max="4"/>
    <col width="46" customWidth="1" min="5" max="5"/>
  </cols>
  <sheetData>
    <row r="1" ht="26" customHeight="1">
      <c r="A1" s="1" t="inlineStr">
        <is>
          <t>Option Hedge Comparisons</t>
        </is>
      </c>
    </row>
    <row r="2"/>
    <row r="3">
      <c r="A3" s="9" t="inlineStr">
        <is>
          <t>Metric</t>
        </is>
      </c>
      <c r="B3" s="9" t="inlineStr">
        <is>
          <t>EUR Put</t>
        </is>
      </c>
      <c r="C3" s="9" t="inlineStr">
        <is>
          <t>EUR Call overlay</t>
        </is>
      </c>
      <c r="D3" s="9" t="inlineStr">
        <is>
          <t>Units</t>
        </is>
      </c>
      <c r="E3" s="9" t="inlineStr">
        <is>
          <t>Notes</t>
        </is>
      </c>
    </row>
    <row r="4">
      <c r="A4" s="5" t="inlineStr">
        <is>
          <t>Strike</t>
        </is>
      </c>
      <c r="B4" s="22">
        <f>K_PUT</f>
        <v/>
      </c>
      <c r="C4" s="22">
        <f>K_CALL</f>
        <v/>
      </c>
      <c r="D4" s="5" t="inlineStr">
        <is>
          <t>USD/EUR</t>
        </is>
      </c>
      <c r="E4" s="5" t="inlineStr">
        <is>
          <t>Both strikes equal spot</t>
        </is>
      </c>
    </row>
    <row r="5">
      <c r="A5" s="5" t="inlineStr">
        <is>
          <t>Premium paid at inception</t>
        </is>
      </c>
      <c r="B5" s="21">
        <f>PREM_PUT*FC_AMT</f>
        <v/>
      </c>
      <c r="C5" s="21">
        <f>PREM_CALL*FC_AMT</f>
        <v/>
      </c>
      <c r="D5" s="5" t="inlineStr">
        <is>
          <t>USD</t>
        </is>
      </c>
      <c r="E5" s="5" t="inlineStr">
        <is>
          <t>Cash outflow; positive displayed cost</t>
        </is>
      </c>
    </row>
    <row r="6">
      <c r="A6" s="5" t="inlineStr">
        <is>
          <t>Premium future value (negative)</t>
        </is>
      </c>
      <c r="B6" s="21">
        <f>-PREM_PUT*FC_AMT*(1+R_USD*T_DAYS/BASIS_USD)</f>
        <v/>
      </c>
      <c r="C6" s="21">
        <f>-PREM_CALL*FC_AMT*(1+R_USD*T_DAYS/BASIS_USD)</f>
        <v/>
      </c>
      <c r="D6" s="5" t="inlineStr">
        <is>
          <t>USD</t>
        </is>
      </c>
      <c r="E6" s="5" t="inlineStr">
        <is>
          <t>Deducted from proceeds</t>
        </is>
      </c>
    </row>
    <row r="7">
      <c r="A7" s="5" t="inlineStr">
        <is>
          <t>Base-case proceeds at S_T = S0_in</t>
        </is>
      </c>
      <c r="B7" s="6">
        <f>FC_AMT*MAX(S0_in,K_PUT)-PREM_PUT*FC_AMT*(1+R_USD*T_DAYS/BASIS_USD)</f>
        <v/>
      </c>
      <c r="C7" s="6">
        <f>FC_AMT*S0_in+FC_AMT*MAX(S0_in-K_CALL,0)-PREM_CALL*FC_AMT*(1+R_USD*T_DAYS/BASIS_USD)</f>
        <v/>
      </c>
      <c r="D7" s="5" t="inlineStr">
        <is>
          <t>USD</t>
        </is>
      </c>
      <c r="E7" s="5" t="inlineStr">
        <is>
          <t>Call is an upside overlay; it does not protect downside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0" customWidth="1" min="4" max="4"/>
    <col width="24" customWidth="1" min="5" max="5"/>
    <col width="20" customWidth="1" min="6" max="6"/>
    <col width="24" customWidth="1" min="7" max="7"/>
  </cols>
  <sheetData>
    <row r="1" ht="26" customHeight="1">
      <c r="A1" s="1" t="inlineStr">
        <is>
          <t>Settlement Sensitivity — ±5% in 1% Steps</t>
        </is>
      </c>
    </row>
    <row r="2"/>
    <row r="3">
      <c r="A3" s="9" t="inlineStr">
        <is>
          <t>Scenario change</t>
        </is>
      </c>
      <c r="B3" s="9" t="inlineStr">
        <is>
          <t>S_T (USD/EUR)</t>
        </is>
      </c>
      <c r="C3" s="9" t="inlineStr">
        <is>
          <t>No hedge (USD)</t>
        </is>
      </c>
      <c r="D3" s="9" t="inlineStr">
        <is>
          <t>Forward (USD)</t>
        </is>
      </c>
      <c r="E3" s="9" t="inlineStr">
        <is>
          <t>Money market (USD)</t>
        </is>
      </c>
      <c r="F3" s="9" t="inlineStr">
        <is>
          <t>EUR put (USD)</t>
        </is>
      </c>
      <c r="G3" s="9" t="inlineStr">
        <is>
          <t>EUR call overlay (USD)</t>
        </is>
      </c>
    </row>
    <row r="4">
      <c r="A4" s="23">
        <f>(ROW()-9)*STEP_FRAC</f>
        <v/>
      </c>
      <c r="B4" s="22">
        <f>S0_in*(1+A4)</f>
        <v/>
      </c>
      <c r="C4" s="24">
        <f>FC_AMT*B4</f>
        <v/>
      </c>
      <c r="D4" s="24">
        <f>FC_AMT*F0_in</f>
        <v/>
      </c>
      <c r="E4" s="24">
        <f>USD_TODAY*(1+R_USD*T_DAYS/BASIS_USD)</f>
        <v/>
      </c>
      <c r="F4" s="24">
        <f>FC_AMT*MAX(B4,K_PUT)-PREM_PUT*FC_AMT*(1+R_USD*T_DAYS/BASIS_USD)</f>
        <v/>
      </c>
      <c r="G4" s="24">
        <f>FC_AMT*B4+FC_AMT*MAX(B4-K_CALL,0)-PREM_CALL*FC_AMT*(1+R_USD*T_DAYS/BASIS_USD)</f>
        <v/>
      </c>
    </row>
    <row r="5">
      <c r="A5" s="23">
        <f>(ROW()-9)*STEP_FRAC</f>
        <v/>
      </c>
      <c r="B5" s="22">
        <f>S0_in*(1+A5)</f>
        <v/>
      </c>
      <c r="C5" s="24">
        <f>FC_AMT*B5</f>
        <v/>
      </c>
      <c r="D5" s="24">
        <f>FC_AMT*F0_in</f>
        <v/>
      </c>
      <c r="E5" s="24">
        <f>USD_TODAY*(1+R_USD*T_DAYS/BASIS_USD)</f>
        <v/>
      </c>
      <c r="F5" s="24">
        <f>FC_AMT*MAX(B5,K_PUT)-PREM_PUT*FC_AMT*(1+R_USD*T_DAYS/BASIS_USD)</f>
        <v/>
      </c>
      <c r="G5" s="24">
        <f>FC_AMT*B5+FC_AMT*MAX(B5-K_CALL,0)-PREM_CALL*FC_AMT*(1+R_USD*T_DAYS/BASIS_USD)</f>
        <v/>
      </c>
    </row>
    <row r="6">
      <c r="A6" s="23">
        <f>(ROW()-9)*STEP_FRAC</f>
        <v/>
      </c>
      <c r="B6" s="22">
        <f>S0_in*(1+A6)</f>
        <v/>
      </c>
      <c r="C6" s="24">
        <f>FC_AMT*B6</f>
        <v/>
      </c>
      <c r="D6" s="24">
        <f>FC_AMT*F0_in</f>
        <v/>
      </c>
      <c r="E6" s="24">
        <f>USD_TODAY*(1+R_USD*T_DAYS/BASIS_USD)</f>
        <v/>
      </c>
      <c r="F6" s="24">
        <f>FC_AMT*MAX(B6,K_PUT)-PREM_PUT*FC_AMT*(1+R_USD*T_DAYS/BASIS_USD)</f>
        <v/>
      </c>
      <c r="G6" s="24">
        <f>FC_AMT*B6+FC_AMT*MAX(B6-K_CALL,0)-PREM_CALL*FC_AMT*(1+R_USD*T_DAYS/BASIS_USD)</f>
        <v/>
      </c>
    </row>
    <row r="7">
      <c r="A7" s="23">
        <f>(ROW()-9)*STEP_FRAC</f>
        <v/>
      </c>
      <c r="B7" s="22">
        <f>S0_in*(1+A7)</f>
        <v/>
      </c>
      <c r="C7" s="24">
        <f>FC_AMT*B7</f>
        <v/>
      </c>
      <c r="D7" s="24">
        <f>FC_AMT*F0_in</f>
        <v/>
      </c>
      <c r="E7" s="24">
        <f>USD_TODAY*(1+R_USD*T_DAYS/BASIS_USD)</f>
        <v/>
      </c>
      <c r="F7" s="24">
        <f>FC_AMT*MAX(B7,K_PUT)-PREM_PUT*FC_AMT*(1+R_USD*T_DAYS/BASIS_USD)</f>
        <v/>
      </c>
      <c r="G7" s="24">
        <f>FC_AMT*B7+FC_AMT*MAX(B7-K_CALL,0)-PREM_CALL*FC_AMT*(1+R_USD*T_DAYS/BASIS_USD)</f>
        <v/>
      </c>
    </row>
    <row r="8">
      <c r="A8" s="23">
        <f>(ROW()-9)*STEP_FRAC</f>
        <v/>
      </c>
      <c r="B8" s="22">
        <f>S0_in*(1+A8)</f>
        <v/>
      </c>
      <c r="C8" s="24">
        <f>FC_AMT*B8</f>
        <v/>
      </c>
      <c r="D8" s="24">
        <f>FC_AMT*F0_in</f>
        <v/>
      </c>
      <c r="E8" s="24">
        <f>USD_TODAY*(1+R_USD*T_DAYS/BASIS_USD)</f>
        <v/>
      </c>
      <c r="F8" s="24">
        <f>FC_AMT*MAX(B8,K_PUT)-PREM_PUT*FC_AMT*(1+R_USD*T_DAYS/BASIS_USD)</f>
        <v/>
      </c>
      <c r="G8" s="24">
        <f>FC_AMT*B8+FC_AMT*MAX(B8-K_CALL,0)-PREM_CALL*FC_AMT*(1+R_USD*T_DAYS/BASIS_USD)</f>
        <v/>
      </c>
    </row>
    <row r="9">
      <c r="A9" s="23">
        <f>(ROW()-9)*STEP_FRAC</f>
        <v/>
      </c>
      <c r="B9" s="22">
        <f>S0_in*(1+A9)</f>
        <v/>
      </c>
      <c r="C9" s="24">
        <f>FC_AMT*B9</f>
        <v/>
      </c>
      <c r="D9" s="24">
        <f>FC_AMT*F0_in</f>
        <v/>
      </c>
      <c r="E9" s="24">
        <f>USD_TODAY*(1+R_USD*T_DAYS/BASIS_USD)</f>
        <v/>
      </c>
      <c r="F9" s="24">
        <f>FC_AMT*MAX(B9,K_PUT)-PREM_PUT*FC_AMT*(1+R_USD*T_DAYS/BASIS_USD)</f>
        <v/>
      </c>
      <c r="G9" s="24">
        <f>FC_AMT*B9+FC_AMT*MAX(B9-K_CALL,0)-PREM_CALL*FC_AMT*(1+R_USD*T_DAYS/BASIS_USD)</f>
        <v/>
      </c>
    </row>
    <row r="10">
      <c r="A10" s="23">
        <f>(ROW()-9)*STEP_FRAC</f>
        <v/>
      </c>
      <c r="B10" s="22">
        <f>S0_in*(1+A10)</f>
        <v/>
      </c>
      <c r="C10" s="24">
        <f>FC_AMT*B10</f>
        <v/>
      </c>
      <c r="D10" s="24">
        <f>FC_AMT*F0_in</f>
        <v/>
      </c>
      <c r="E10" s="24">
        <f>USD_TODAY*(1+R_USD*T_DAYS/BASIS_USD)</f>
        <v/>
      </c>
      <c r="F10" s="24">
        <f>FC_AMT*MAX(B10,K_PUT)-PREM_PUT*FC_AMT*(1+R_USD*T_DAYS/BASIS_USD)</f>
        <v/>
      </c>
      <c r="G10" s="24">
        <f>FC_AMT*B10+FC_AMT*MAX(B10-K_CALL,0)-PREM_CALL*FC_AMT*(1+R_USD*T_DAYS/BASIS_USD)</f>
        <v/>
      </c>
    </row>
    <row r="11">
      <c r="A11" s="23">
        <f>(ROW()-9)*STEP_FRAC</f>
        <v/>
      </c>
      <c r="B11" s="22">
        <f>S0_in*(1+A11)</f>
        <v/>
      </c>
      <c r="C11" s="24">
        <f>FC_AMT*B11</f>
        <v/>
      </c>
      <c r="D11" s="24">
        <f>FC_AMT*F0_in</f>
        <v/>
      </c>
      <c r="E11" s="24">
        <f>USD_TODAY*(1+R_USD*T_DAYS/BASIS_USD)</f>
        <v/>
      </c>
      <c r="F11" s="24">
        <f>FC_AMT*MAX(B11,K_PUT)-PREM_PUT*FC_AMT*(1+R_USD*T_DAYS/BASIS_USD)</f>
        <v/>
      </c>
      <c r="G11" s="24">
        <f>FC_AMT*B11+FC_AMT*MAX(B11-K_CALL,0)-PREM_CALL*FC_AMT*(1+R_USD*T_DAYS/BASIS_USD)</f>
        <v/>
      </c>
    </row>
    <row r="12">
      <c r="A12" s="23">
        <f>(ROW()-9)*STEP_FRAC</f>
        <v/>
      </c>
      <c r="B12" s="22">
        <f>S0_in*(1+A12)</f>
        <v/>
      </c>
      <c r="C12" s="24">
        <f>FC_AMT*B12</f>
        <v/>
      </c>
      <c r="D12" s="24">
        <f>FC_AMT*F0_in</f>
        <v/>
      </c>
      <c r="E12" s="24">
        <f>USD_TODAY*(1+R_USD*T_DAYS/BASIS_USD)</f>
        <v/>
      </c>
      <c r="F12" s="24">
        <f>FC_AMT*MAX(B12,K_PUT)-PREM_PUT*FC_AMT*(1+R_USD*T_DAYS/BASIS_USD)</f>
        <v/>
      </c>
      <c r="G12" s="24">
        <f>FC_AMT*B12+FC_AMT*MAX(B12-K_CALL,0)-PREM_CALL*FC_AMT*(1+R_USD*T_DAYS/BASIS_USD)</f>
        <v/>
      </c>
    </row>
    <row r="13">
      <c r="A13" s="23">
        <f>(ROW()-9)*STEP_FRAC</f>
        <v/>
      </c>
      <c r="B13" s="22">
        <f>S0_in*(1+A13)</f>
        <v/>
      </c>
      <c r="C13" s="24">
        <f>FC_AMT*B13</f>
        <v/>
      </c>
      <c r="D13" s="24">
        <f>FC_AMT*F0_in</f>
        <v/>
      </c>
      <c r="E13" s="24">
        <f>USD_TODAY*(1+R_USD*T_DAYS/BASIS_USD)</f>
        <v/>
      </c>
      <c r="F13" s="24">
        <f>FC_AMT*MAX(B13,K_PUT)-PREM_PUT*FC_AMT*(1+R_USD*T_DAYS/BASIS_USD)</f>
        <v/>
      </c>
      <c r="G13" s="24">
        <f>FC_AMT*B13+FC_AMT*MAX(B13-K_CALL,0)-PREM_CALL*FC_AMT*(1+R_USD*T_DAYS/BASIS_USD)</f>
        <v/>
      </c>
    </row>
    <row r="14">
      <c r="A14" s="23">
        <f>(ROW()-9)*STEP_FRAC</f>
        <v/>
      </c>
      <c r="B14" s="22">
        <f>S0_in*(1+A14)</f>
        <v/>
      </c>
      <c r="C14" s="24">
        <f>FC_AMT*B14</f>
        <v/>
      </c>
      <c r="D14" s="24">
        <f>FC_AMT*F0_in</f>
        <v/>
      </c>
      <c r="E14" s="24">
        <f>USD_TODAY*(1+R_USD*T_DAYS/BASIS_USD)</f>
        <v/>
      </c>
      <c r="F14" s="24">
        <f>FC_AMT*MAX(B14,K_PUT)-PREM_PUT*FC_AMT*(1+R_USD*T_DAYS/BASIS_USD)</f>
        <v/>
      </c>
      <c r="G14" s="24">
        <f>FC_AMT*B14+FC_AMT*MAX(B14-K_CALL,0)-PREM_CALL*FC_AMT*(1+R_USD*T_DAYS/BASIS_USD)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1" customWidth="1" min="3" max="3"/>
    <col width="20" customWidth="1" min="4" max="4"/>
    <col width="65" customWidth="1" min="5" max="5"/>
  </cols>
  <sheetData>
    <row r="1" ht="26" customHeight="1">
      <c r="A1" s="1" t="inlineStr">
        <is>
          <t>Validation Checks</t>
        </is>
      </c>
    </row>
    <row r="2"/>
    <row r="3">
      <c r="A3" s="9" t="inlineStr">
        <is>
          <t>Check</t>
        </is>
      </c>
      <c r="B3" s="9" t="inlineStr">
        <is>
          <t>Calculated value</t>
        </is>
      </c>
      <c r="C3" s="9" t="inlineStr">
        <is>
          <t>Threshold / expected</t>
        </is>
      </c>
      <c r="D3" s="9" t="inlineStr">
        <is>
          <t>Status formula</t>
        </is>
      </c>
      <c r="E3" s="9" t="inlineStr">
        <is>
          <t>Interpretation</t>
        </is>
      </c>
    </row>
    <row r="4" ht="38" customHeight="1">
      <c r="A4" s="3" t="inlineStr">
        <is>
          <t>Forward proceeds</t>
        </is>
      </c>
      <c r="B4" s="25">
        <f>FC_AMT*F0_in</f>
        <v/>
      </c>
      <c r="C4" s="3" t="inlineStr">
        <is>
          <t>Expected = FC_AMT × F0_in</t>
        </is>
      </c>
      <c r="D4" s="26">
        <f>IF(ABS(B4-FC_AMT*F0_in)&lt;0.01,"PASS","FAIL")</f>
        <v/>
      </c>
      <c r="E4" s="3" t="inlineStr">
        <is>
          <t>Should equal receivable amount multiplied by forward quote.</t>
        </is>
      </c>
    </row>
    <row r="5" ht="38" customHeight="1">
      <c r="A5" s="3" t="inlineStr">
        <is>
          <t>Base spot value</t>
        </is>
      </c>
      <c r="B5" s="25">
        <f>FC_AMT*S0_in</f>
        <v/>
      </c>
      <c r="C5" s="3" t="inlineStr">
        <is>
          <t>Expected = FC_AMT × S0_in</t>
        </is>
      </c>
      <c r="D5" s="26">
        <f>IF(ABS(B5-FC_AMT*S0_in)&lt;0.01,"PASS","FAIL")</f>
        <v/>
      </c>
      <c r="E5" s="3" t="inlineStr">
        <is>
          <t>Spot conversion at reference rate.</t>
        </is>
      </c>
    </row>
    <row r="6" ht="38" customHeight="1">
      <c r="A6" s="3" t="inlineStr">
        <is>
          <t>Put floor at strike</t>
        </is>
      </c>
      <c r="B6" s="25">
        <f>FC_AMT*MAX(K_PUT,K_PUT)-PREM_PUT*FC_AMT*(1+R_USD*T_DAYS/BASIS_USD)</f>
        <v/>
      </c>
      <c r="C6" s="3" t="inlineStr">
        <is>
          <t>Strike conversion less carried premium</t>
        </is>
      </c>
      <c r="D6" s="26">
        <f>IF(ABS(B6-(FC_AMT*K_PUT-PREM_PUT*FC_AMT*(1+R_USD*T_DAYS/BASIS_USD)))&lt;0.01,"PASS","FAIL")</f>
        <v/>
      </c>
      <c r="E6" s="3" t="inlineStr">
        <is>
          <t>Checks put payoff at its strike.</t>
        </is>
      </c>
    </row>
    <row r="7" ht="38" customHeight="1">
      <c r="A7" s="3" t="inlineStr">
        <is>
          <t>Forward parity relative difference</t>
        </is>
      </c>
      <c r="B7" s="27">
        <f>ABS(F0_in-(S0_in*(1+R_USD*T_DAYS/BASIS_USD)/(1+R_FC*T_DAYS/BASIS_FC)))/(S0_in*(1+R_USD*T_DAYS/BASIS_USD)/(1+R_FC*T_DAYS/BASIS_FC))</f>
        <v/>
      </c>
      <c r="C7" s="3" t="inlineStr">
        <is>
          <t>&lt;= 0.05%</t>
        </is>
      </c>
      <c r="D7" s="26">
        <f>IF(B7&lt;=0.0005,"PASS","FAIL")</f>
        <v/>
      </c>
      <c r="E7" s="3" t="inlineStr">
        <is>
          <t>A failure indicates spot, rates, forward, dates, or conventions are inconsistent.</t>
        </is>
      </c>
    </row>
    <row r="8" ht="38" customHeight="1">
      <c r="A8" s="3" t="inlineStr">
        <is>
          <t>Sensitivity grid rows</t>
        </is>
      </c>
      <c r="B8" s="19">
        <f>COUNTA(Sensitivity!B4:B14)</f>
        <v/>
      </c>
      <c r="C8" s="3" t="inlineStr">
        <is>
          <t>Expected = 11</t>
        </is>
      </c>
      <c r="D8" s="26">
        <f>IF(B8=11,"PASS","FAIL")</f>
        <v/>
      </c>
      <c r="E8" s="3" t="inlineStr">
        <is>
          <t>Checks 11 formula-driven settlement cases.</t>
        </is>
      </c>
    </row>
    <row r="9" ht="38" customHeight="1">
      <c r="A9" s="3" t="inlineStr">
        <is>
          <t>Forward sensitivity invariant</t>
        </is>
      </c>
      <c r="B9" s="19">
        <f>MAX(Sensitivity!D4:D14)-MIN(Sensitivity!D4:D14)</f>
        <v/>
      </c>
      <c r="C9" s="3" t="inlineStr">
        <is>
          <t>Expected = 0</t>
        </is>
      </c>
      <c r="D9" s="26">
        <f>IF(ABS(B9)&lt;0.01,"PASS","FAIL")</f>
        <v/>
      </c>
      <c r="E9" s="3" t="inlineStr">
        <is>
          <t>Forward proceeds should not move with S_T.</t>
        </is>
      </c>
    </row>
  </sheetData>
  <mergeCells count="1">
    <mergeCell ref="A1:E1"/>
  </mergeCells>
  <conditionalFormatting sqref="D4:D9">
    <cfRule type="cellIs" priority="1" operator="equal" dxfId="0">
      <formula>"FAIL"</formula>
    </cfRule>
    <cfRule type="cellIs" priority="2" operator="equal" dxfId="1">
      <formula>"PASS"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5" customWidth="1" min="3" max="3"/>
    <col width="25" customWidth="1" min="4" max="4"/>
  </cols>
  <sheetData>
    <row r="1" ht="26" customHeight="1">
      <c r="A1" s="1" t="inlineStr">
        <is>
          <t>Notes &amp; Assumptions</t>
        </is>
      </c>
    </row>
    <row r="2"/>
    <row r="3" ht="36" customHeight="1">
      <c r="A3" s="2" t="inlineStr">
        <is>
          <t>Model purpose</t>
        </is>
      </c>
      <c r="B3" s="3" t="inlineStr">
        <is>
          <t>Compare USD outcomes for a EUR receivable under no hedge, forward, money-market hedge, EUR put, and EUR call overlay.</t>
        </is>
      </c>
    </row>
    <row r="4" ht="36" customHeight="1">
      <c r="A4" s="2" t="inlineStr">
        <is>
          <t>Spot input</t>
        </is>
      </c>
      <c r="B4" s="3" t="inlineStr">
        <is>
          <t>1.1193 is a reference-rate proxy from ECB data dated 2026-10-23, not an executable quote. Confirm actual market quote.</t>
        </is>
      </c>
    </row>
    <row r="5" ht="36" customHeight="1">
      <c r="A5" s="2" t="inlineStr">
        <is>
          <t>USD rate</t>
        </is>
      </c>
      <c r="B5" s="3" t="inlineStr">
        <is>
          <t>4.04% is a provisional 3-month U.S. Treasury-rate proxy. Treasury yield is not necessarily the company’s borrow/lend rate.</t>
        </is>
      </c>
    </row>
    <row r="6" ht="36" customHeight="1">
      <c r="A6" s="2" t="inlineStr">
        <is>
          <t>EUR rate</t>
        </is>
      </c>
      <c r="B6" s="3" t="inlineStr">
        <is>
          <t>2.666% is a provisional 3-month Euribor proxy. Verify exact fixing date, maturity, and rate convention.</t>
        </is>
      </c>
    </row>
    <row r="7" ht="36" customHeight="1">
      <c r="A7" s="2" t="inlineStr">
        <is>
          <t>Forward input</t>
        </is>
      </c>
      <c r="B7" s="3" t="inlineStr">
        <is>
          <t>1.1653 is the scenario's indicative 91-day forward quote. Confirm that it shares the same date and quote convention as spot/rates.</t>
        </is>
      </c>
    </row>
    <row r="8" ht="36" customHeight="1">
      <c r="A8" s="2" t="inlineStr">
        <is>
          <t>Day count</t>
        </is>
      </c>
      <c r="B8" s="3" t="inlineStr">
        <is>
          <t>The initial model uses simple interest and a 360-day basis. Actual market conventions may differ.</t>
        </is>
      </c>
    </row>
    <row r="9" ht="36" customHeight="1">
      <c r="A9" s="2" t="inlineStr">
        <is>
          <t>Parity result</t>
        </is>
      </c>
      <c r="B9" s="3" t="inlineStr">
        <is>
          <t>A material discrepancy exists between the supplied forward quote and the selected spot/rate proxies. Do not force the check to pass; reconcile inputs before final recommendation.</t>
        </is>
      </c>
    </row>
    <row r="10" ht="36" customHeight="1">
      <c r="A10" s="2" t="inlineStr">
        <is>
          <t>Option modeling</t>
        </is>
      </c>
      <c r="B10" s="3" t="inlineStr">
        <is>
          <t>Premiums are treated as paid at inception and carried to maturity using the USD factor. Put payoff protects a EUR receivable; the call overlay adds upside but does not protect downside.</t>
        </is>
      </c>
    </row>
    <row r="11" ht="36" customHeight="1">
      <c r="A11" s="2" t="inlineStr">
        <is>
          <t>Excluded costs</t>
        </is>
      </c>
      <c r="B11" s="3" t="inlineStr">
        <is>
          <t>Transaction costs, bid/ask spreads, credit spreads, collateral, taxes, and counterparty limits are excluded.</t>
        </is>
      </c>
    </row>
    <row r="12" ht="36" customHeight="1">
      <c r="A12" s="2" t="inlineStr">
        <is>
          <t>Stage 4 next steps</t>
        </is>
      </c>
      <c r="B12" s="3" t="inlineStr">
        <is>
          <t>Replace proxies with validated market inputs and record exact sources, observation dates, maturity, and day-count conventions.</t>
        </is>
      </c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2026-10-26T08:59:08Z</dcterms:created>
  <dcterms:modified xmlns:dcterms="http://purl.org/dc/terms/" xmlns:xsi="http://www.w3.org/2001/XMLSchema-instance" xsi:type="dcterms:W3CDTF">2026-10-26T08:59:08Z</dcterms:modified>
</cp:coreProperties>
</file>